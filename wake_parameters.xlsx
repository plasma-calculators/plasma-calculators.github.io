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csalgado/Downloads/"/>
    </mc:Choice>
  </mc:AlternateContent>
  <xr:revisionPtr revIDLastSave="0" documentId="13_ncr:1_{DFCE13D1-7CAC-C248-85A0-43DA94A0F444}" xr6:coauthVersionLast="47" xr6:coauthVersionMax="47" xr10:uidLastSave="{00000000-0000-0000-0000-000000000000}"/>
  <bookViews>
    <workbookView xWindow="11520" yWindow="2320" windowWidth="24540" windowHeight="1606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J23" i="1" l="1"/>
  <c r="J22" i="1"/>
  <c r="K15" i="1" s="1"/>
  <c r="L15" i="1" s="1"/>
  <c r="J21" i="1"/>
  <c r="J20" i="1"/>
  <c r="D16" i="1"/>
  <c r="D24" i="1" s="1"/>
  <c r="E24" i="1" s="1"/>
  <c r="D15" i="1"/>
  <c r="E15" i="1" s="1"/>
  <c r="E12" i="1"/>
  <c r="D12" i="1"/>
  <c r="K11" i="1"/>
  <c r="K12" i="1" s="1"/>
  <c r="L8" i="1"/>
  <c r="E13" i="1" l="1"/>
  <c r="E14" i="1" s="1"/>
  <c r="M12" i="1"/>
  <c r="K16" i="1"/>
  <c r="L16" i="1" s="1"/>
  <c r="K13" i="1"/>
  <c r="K17" i="1"/>
  <c r="D25" i="1" s="1"/>
  <c r="D17" i="1"/>
  <c r="D21" i="1"/>
  <c r="D13" i="1"/>
  <c r="D14" i="1" s="1"/>
  <c r="D22" i="1" s="1"/>
  <c r="E22" i="1" s="1"/>
  <c r="D23" i="1" l="1"/>
  <c r="F23" i="1" s="1"/>
  <c r="E23" i="1"/>
  <c r="E25" i="1"/>
</calcChain>
</file>

<file path=xl/sharedStrings.xml><?xml version="1.0" encoding="utf-8"?>
<sst xmlns="http://schemas.openxmlformats.org/spreadsheetml/2006/main" count="43" uniqueCount="43">
  <si>
    <t>Pulseintensity</t>
  </si>
  <si>
    <t>Plasma Parameters</t>
  </si>
  <si>
    <t>Intensity FWHM (fs):</t>
  </si>
  <si>
    <t>electrons per background atom:</t>
  </si>
  <si>
    <t>Pulsenergy (J):</t>
  </si>
  <si>
    <t>electrons per dopant atom:</t>
  </si>
  <si>
    <t>w_0 (E-field 1/e, um):</t>
  </si>
  <si>
    <t>% Dopant:</t>
  </si>
  <si>
    <t>lambda (um):</t>
  </si>
  <si>
    <t>total Preassure (Torr):</t>
  </si>
  <si>
    <t>mbar</t>
  </si>
  <si>
    <t>q-factor:</t>
  </si>
  <si>
    <t>set n_e (1/cc), put -1 for calculation from above:</t>
  </si>
  <si>
    <t>Gauss</t>
  </si>
  <si>
    <t>Top-Hat</t>
  </si>
  <si>
    <t>n_e (1/cc):</t>
  </si>
  <si>
    <t>Peak Power (TW):</t>
  </si>
  <si>
    <t>omega_p:</t>
  </si>
  <si>
    <t>lambda_p(um):</t>
  </si>
  <si>
    <t>Peak Intensity (1E18 W/cm^2):</t>
  </si>
  <si>
    <t>critical wavelength (um):</t>
  </si>
  <si>
    <t>a_0 with coupling</t>
  </si>
  <si>
    <t>plasma temperature (eV):</t>
  </si>
  <si>
    <t>Spot Size (um^2)</t>
  </si>
  <si>
    <t>lambda_debye (m, um):</t>
  </si>
  <si>
    <t>omega_laser:</t>
  </si>
  <si>
    <t>class. thermal speed (m/s, %c):</t>
  </si>
  <si>
    <t>laser frequency:</t>
  </si>
  <si>
    <t>P_Crit (TW):</t>
  </si>
  <si>
    <t>LWFA</t>
  </si>
  <si>
    <t>Formulas from PRSTAB</t>
  </si>
  <si>
    <t>http://journals.aps.org/prstab/pdf/10.1103/PhysRevSTAB.10.061301</t>
  </si>
  <si>
    <t>physical constants</t>
  </si>
  <si>
    <t>m_e (kg)</t>
  </si>
  <si>
    <t>Energy (MeV), only if R=w_0:</t>
  </si>
  <si>
    <t>epsilon_0</t>
  </si>
  <si>
    <t>Bubble R - should meet w_0 (m, um):</t>
  </si>
  <si>
    <t>q_e (C )</t>
  </si>
  <si>
    <t>Dephasing length (m,mm):</t>
  </si>
  <si>
    <t>c</t>
  </si>
  <si>
    <t>Pumpdepletion (m,mm):</t>
  </si>
  <si>
    <t>n_e(1/cc) at 1bar</t>
  </si>
  <si>
    <t>matched a_0: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</si>
</sst>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1"/>
    </font>
    <font>
      <b/>
      <u/>
      <sz val="20"/>
      <color rgb="FF000000"/>
      <name val="Calibri"/>
      <family val="2"/>
      <charset val="1"/>
    </font>
    <font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7E4BD"/>
        <bgColor rgb="FFCCCCFF"/>
      </patternFill>
    </fill>
    <fill>
      <patternFill patternType="solid">
        <fgColor rgb="FFE6B9B8"/>
        <bgColor rgb="FF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2" borderId="0" xfId="0" applyFill="1"/>
    <xf numFmtId="11" fontId="0" fillId="2" borderId="0" xfId="0" applyNumberFormat="1" applyFill="1"/>
    <xf numFmtId="0" fontId="2" fillId="3" borderId="0" xfId="0" applyFont="1" applyFill="1"/>
    <xf numFmtId="0" fontId="0" fillId="3" borderId="0" xfId="0" applyFill="1"/>
    <xf numFmtId="11" fontId="2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B3:M25"/>
  <sheetViews>
    <sheetView tabSelected="1" zoomScaleNormal="100" workbookViewId="0">
      <selection activeCell="D8" sqref="D8"/>
    </sheetView>
  </sheetViews>
  <sheetFormatPr baseColWidth="10" defaultColWidth="11.1640625" defaultRowHeight="16" x14ac:dyDescent="0.2"/>
  <cols>
    <col min="3" max="3" width="18.1640625" customWidth="1"/>
    <col min="4" max="4" width="12.5" customWidth="1"/>
    <col min="6" max="6" width="12" customWidth="1"/>
    <col min="10" max="10" width="14.5" customWidth="1"/>
    <col min="11" max="11" width="12.5" customWidth="1"/>
    <col min="12" max="12" width="14.33203125" customWidth="1"/>
    <col min="13" max="13" width="14.5" customWidth="1"/>
    <col min="14" max="14" width="12.5" customWidth="1"/>
  </cols>
  <sheetData>
    <row r="3" spans="2:13" ht="26" x14ac:dyDescent="0.3">
      <c r="B3" s="1" t="s">
        <v>0</v>
      </c>
      <c r="H3" s="1" t="s">
        <v>1</v>
      </c>
    </row>
    <row r="4" spans="2:13" ht="26" x14ac:dyDescent="0.3">
      <c r="B4" s="1"/>
      <c r="H4" s="1"/>
    </row>
    <row r="5" spans="2:13" x14ac:dyDescent="0.2">
      <c r="C5" s="2" t="s">
        <v>2</v>
      </c>
      <c r="D5" s="3">
        <v>30</v>
      </c>
      <c r="J5" s="2" t="s">
        <v>3</v>
      </c>
      <c r="K5" s="4">
        <v>2</v>
      </c>
    </row>
    <row r="6" spans="2:13" x14ac:dyDescent="0.2">
      <c r="C6" s="2" t="s">
        <v>4</v>
      </c>
      <c r="D6" s="3">
        <v>3</v>
      </c>
      <c r="J6" s="2" t="s">
        <v>5</v>
      </c>
      <c r="K6" s="4">
        <v>7</v>
      </c>
    </row>
    <row r="7" spans="2:13" x14ac:dyDescent="0.2">
      <c r="C7" s="2" t="s">
        <v>6</v>
      </c>
      <c r="D7" s="3">
        <v>10.9</v>
      </c>
      <c r="J7" s="2" t="s">
        <v>7</v>
      </c>
      <c r="K7" s="4">
        <v>5</v>
      </c>
    </row>
    <row r="8" spans="2:13" x14ac:dyDescent="0.2">
      <c r="C8" s="2" t="s">
        <v>8</v>
      </c>
      <c r="D8" s="3">
        <v>0.8</v>
      </c>
      <c r="J8" s="2" t="s">
        <v>9</v>
      </c>
      <c r="K8" s="4">
        <v>13</v>
      </c>
      <c r="L8">
        <f>K8*0.00133322*1000</f>
        <v>17.331860000000002</v>
      </c>
      <c r="M8" t="s">
        <v>10</v>
      </c>
    </row>
    <row r="9" spans="2:13" x14ac:dyDescent="0.2">
      <c r="C9" s="2" t="s">
        <v>11</v>
      </c>
      <c r="D9" s="3">
        <v>1</v>
      </c>
    </row>
    <row r="10" spans="2:13" x14ac:dyDescent="0.2">
      <c r="C10" s="2"/>
      <c r="J10" s="2" t="s">
        <v>12</v>
      </c>
      <c r="K10" s="5">
        <v>-1</v>
      </c>
    </row>
    <row r="11" spans="2:13" x14ac:dyDescent="0.2">
      <c r="C11" s="2"/>
      <c r="D11" t="s">
        <v>13</v>
      </c>
      <c r="E11" t="s">
        <v>14</v>
      </c>
      <c r="J11" s="2" t="s">
        <v>15</v>
      </c>
      <c r="K11" s="6">
        <f>IF(K10&lt;0,35700000000000000*K8*(K5*(1-K7/100)+K6*K7/100),K10)</f>
        <v>1.044225E+18</v>
      </c>
    </row>
    <row r="12" spans="2:13" x14ac:dyDescent="0.2">
      <c r="C12" s="2" t="s">
        <v>16</v>
      </c>
      <c r="D12" s="7">
        <f>D6/SQRT(PI())/D5*2*LN(2)*1000*D9</f>
        <v>78.213283827483394</v>
      </c>
      <c r="E12" s="7">
        <f>D6/D5*1000*D9</f>
        <v>100</v>
      </c>
      <c r="J12" s="2" t="s">
        <v>17</v>
      </c>
      <c r="K12" s="6">
        <f>SQRT(K11*100^3*J22^2/J21/J20)</f>
        <v>57613557726444.078</v>
      </c>
      <c r="L12" s="2" t="s">
        <v>18</v>
      </c>
      <c r="M12" s="6">
        <f>J23/K12*2*PI()*1000000</f>
        <v>32.717222586806145</v>
      </c>
    </row>
    <row r="13" spans="2:13" x14ac:dyDescent="0.2">
      <c r="C13" s="2" t="s">
        <v>19</v>
      </c>
      <c r="D13" s="7">
        <f>2*D12/D15*100</f>
        <v>41.91694123226474</v>
      </c>
      <c r="E13" s="7">
        <f>2*E12/E15*100</f>
        <v>53.593122780424075</v>
      </c>
      <c r="J13" s="2" t="s">
        <v>20</v>
      </c>
      <c r="K13" s="7">
        <f>2*PI()*J23/K12*1000000</f>
        <v>32.717222586806145</v>
      </c>
    </row>
    <row r="14" spans="2:13" x14ac:dyDescent="0.2">
      <c r="C14" s="2" t="s">
        <v>21</v>
      </c>
      <c r="D14" s="7">
        <f>0.86*SQRT(D13*D8^2)</f>
        <v>4.4543386299926873</v>
      </c>
      <c r="E14" s="7">
        <f>0.85*D8*SQRT(E13)</f>
        <v>4.978098027727869</v>
      </c>
      <c r="J14" s="2" t="s">
        <v>22</v>
      </c>
      <c r="K14" s="4">
        <v>10</v>
      </c>
    </row>
    <row r="15" spans="2:13" x14ac:dyDescent="0.2">
      <c r="C15" s="2" t="s">
        <v>23</v>
      </c>
      <c r="D15" s="7">
        <f>D7*D7*3.141</f>
        <v>373.18221</v>
      </c>
      <c r="E15" s="7">
        <f>D15</f>
        <v>373.18221</v>
      </c>
      <c r="J15" s="2" t="s">
        <v>24</v>
      </c>
      <c r="K15" s="7">
        <f>SQRT(J21*K14*J22/K11/100^3/J22^2)</f>
        <v>2.3015191919921584E-8</v>
      </c>
      <c r="L15" s="7">
        <f>K15*10^6</f>
        <v>2.3015191919921584E-2</v>
      </c>
    </row>
    <row r="16" spans="2:13" x14ac:dyDescent="0.2">
      <c r="C16" s="2" t="s">
        <v>25</v>
      </c>
      <c r="D16" s="7">
        <f>2*PI()*J23/D8*10^6</f>
        <v>2356194490192344.5</v>
      </c>
      <c r="J16" s="2" t="s">
        <v>26</v>
      </c>
      <c r="K16" s="7">
        <f>K12*K15</f>
        <v>1325987.0882635915</v>
      </c>
      <c r="L16" s="7">
        <f>K16/J23*100</f>
        <v>0.44199569608786382</v>
      </c>
    </row>
    <row r="17" spans="2:13" x14ac:dyDescent="0.2">
      <c r="C17" s="2" t="s">
        <v>27</v>
      </c>
      <c r="D17" s="7">
        <f>D16/2/PI()</f>
        <v>374999999999999.94</v>
      </c>
      <c r="I17" s="2"/>
      <c r="J17" s="2" t="s">
        <v>28</v>
      </c>
      <c r="K17" s="7">
        <f>17000000000*D16^2/K12^2/1000000000000</f>
        <v>28.432942366419539</v>
      </c>
      <c r="M17" s="8"/>
    </row>
    <row r="18" spans="2:13" ht="26" x14ac:dyDescent="0.3">
      <c r="B18" s="1" t="s">
        <v>29</v>
      </c>
      <c r="I18" s="2"/>
    </row>
    <row r="19" spans="2:13" x14ac:dyDescent="0.2">
      <c r="B19" t="s">
        <v>30</v>
      </c>
      <c r="D19" t="s">
        <v>31</v>
      </c>
      <c r="I19" s="2"/>
      <c r="J19" t="s">
        <v>32</v>
      </c>
    </row>
    <row r="20" spans="2:13" x14ac:dyDescent="0.2">
      <c r="I20" s="2"/>
      <c r="J20" s="4">
        <f>9.1E-31</f>
        <v>9.1000000000000001E-31</v>
      </c>
      <c r="K20" t="s">
        <v>33</v>
      </c>
    </row>
    <row r="21" spans="2:13" x14ac:dyDescent="0.2">
      <c r="C21" s="2" t="s">
        <v>34</v>
      </c>
      <c r="D21" s="7">
        <f>1000*1.7*(D12/100)^(1/3)*(1000000000000000000/K11)^(2/3)*(0.8/D8)^(4/3)</f>
        <v>1521.7607223398918</v>
      </c>
      <c r="I21" s="2"/>
      <c r="J21" s="4">
        <f>0.00000000000885</f>
        <v>8.8500000000000005E-12</v>
      </c>
      <c r="K21" t="s">
        <v>35</v>
      </c>
    </row>
    <row r="22" spans="2:13" x14ac:dyDescent="0.2">
      <c r="C22" s="2" t="s">
        <v>36</v>
      </c>
      <c r="D22" s="7">
        <f>2*SQRT(D14)/K12*J23</f>
        <v>2.1979518339004799E-5</v>
      </c>
      <c r="E22" s="7">
        <f>D22*10^6</f>
        <v>21.979518339004798</v>
      </c>
      <c r="I22" s="2"/>
      <c r="J22" s="4">
        <f>1.6E-19</f>
        <v>1.5999999999999999E-19</v>
      </c>
      <c r="K22" t="s">
        <v>37</v>
      </c>
    </row>
    <row r="23" spans="2:13" x14ac:dyDescent="0.2">
      <c r="C23" s="2" t="s">
        <v>38</v>
      </c>
      <c r="D23" s="7">
        <f>2/3*D16^2/K12^2*D22</f>
        <v>2.4507544242140578E-2</v>
      </c>
      <c r="E23" s="7">
        <f>D23*10^3</f>
        <v>24.507544242140579</v>
      </c>
      <c r="F23">
        <f>D23*4/3*D25^0.5</f>
        <v>5.4701174219561555E-2</v>
      </c>
      <c r="I23" s="2"/>
      <c r="J23" s="4">
        <f>300000000</f>
        <v>300000000</v>
      </c>
      <c r="K23" t="s">
        <v>39</v>
      </c>
    </row>
    <row r="24" spans="2:13" x14ac:dyDescent="0.2">
      <c r="C24" s="2" t="s">
        <v>40</v>
      </c>
      <c r="D24" s="7">
        <f>D16^2/K12^2*J23*D5*10^-15</f>
        <v>1.5052734193986814E-2</v>
      </c>
      <c r="E24" s="7">
        <f>D24*10^3</f>
        <v>15.052734193986815</v>
      </c>
      <c r="J24" s="9">
        <v>2.687E+19</v>
      </c>
      <c r="K24" t="s">
        <v>41</v>
      </c>
    </row>
    <row r="25" spans="2:13" x14ac:dyDescent="0.2">
      <c r="C25" s="2" t="s">
        <v>42</v>
      </c>
      <c r="D25" s="7">
        <f>2*(D12/$K$17)^(1/3)</f>
        <v>2.8023103718863198</v>
      </c>
      <c r="E25" s="7">
        <f>2*(E12/$K$17)^(1/3)</f>
        <v>3.0415110182580705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Kuschel</dc:creator>
  <dc:description/>
  <cp:lastModifiedBy>Felipe Cezar Salgado</cp:lastModifiedBy>
  <cp:revision>41</cp:revision>
  <dcterms:created xsi:type="dcterms:W3CDTF">2011-10-05T20:53:53Z</dcterms:created>
  <dcterms:modified xsi:type="dcterms:W3CDTF">2026-07-18T10:39:50Z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